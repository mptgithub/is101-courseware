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PriceList" sheetId="2" state="visible" r:id="rId2"/>
  </sheets>
  <definedNames>
    <definedName name="PriceList">PriceList!$A$4:$B$11</definedName>
  </definedNames>
  <calcPr calcId="124519" fullCalcOnLoad="1" refMode="A1" iterate="0" iterateCount="100" iterateDelta="0.0001"/>
</workbook>
</file>

<file path=xl/sharedStrings.xml><?xml version="1.0" encoding="utf-8"?>
<sst xmlns="http://schemas.openxmlformats.org/spreadsheetml/2006/main" count="38" uniqueCount="38">
  <si>
    <t xml:space="preserve">Oasis Events — Inventory &amp; Budget</t>
  </si>
  <si>
    <t xml:space="preserve">Item ID</t>
  </si>
  <si>
    <t xml:space="preserve">Item Name</t>
  </si>
  <si>
    <t xml:space="preserve">Category</t>
  </si>
  <si>
    <t xml:space="preserve">Qty</t>
  </si>
  <si>
    <t xml:space="preserve">Unit Cost</t>
  </si>
  <si>
    <t xml:space="preserve">Line Total</t>
  </si>
  <si>
    <t xml:space="preserve">SKU</t>
  </si>
  <si>
    <t xml:space="preserve">Category Code</t>
  </si>
  <si>
    <t xml:space="preserve">Item Label</t>
  </si>
  <si>
    <t xml:space="preserve">Event Date</t>
  </si>
  <si>
    <t xml:space="preserve">Vendor</t>
  </si>
  <si>
    <t xml:space="preserve">Spend</t>
  </si>
  <si>
    <t xml:space="preserve">Sorted Vendors</t>
  </si>
  <si>
    <t xml:space="preserve">Categories</t>
  </si>
  <si>
    <t xml:space="preserve">Year</t>
  </si>
  <si>
    <t xml:space="preserve">Month</t>
  </si>
  <si>
    <t xml:space="preserve">Day</t>
  </si>
  <si>
    <t xml:space="preserve">Folding Chair</t>
  </si>
  <si>
    <t xml:space="preserve">Furniture</t>
  </si>
  <si>
    <t xml:space="preserve">2026-09-15</t>
  </si>
  <si>
    <t xml:space="preserve">Summit Rentals</t>
  </si>
  <si>
    <t xml:space="preserve">Round Table</t>
  </si>
  <si>
    <t xml:space="preserve">Oasis Catering</t>
  </si>
  <si>
    <t xml:space="preserve">Linens</t>
  </si>
  <si>
    <t xml:space="preserve">Linen Napkin</t>
  </si>
  <si>
    <t xml:space="preserve">Glassware</t>
  </si>
  <si>
    <t xml:space="preserve">Wine Glass</t>
  </si>
  <si>
    <t xml:space="preserve">Glow Lighting</t>
  </si>
  <si>
    <t xml:space="preserve">Catering</t>
  </si>
  <si>
    <t xml:space="preserve">Chafing Dish</t>
  </si>
  <si>
    <t xml:space="preserve">Lighting</t>
  </si>
  <si>
    <t xml:space="preserve">LED Uplight</t>
  </si>
  <si>
    <t xml:space="preserve">Staging</t>
  </si>
  <si>
    <t xml:space="preserve">Dance Floor Panel</t>
  </si>
  <si>
    <t xml:space="preserve">Champagne Flute</t>
  </si>
  <si>
    <t xml:space="preserve">Total</t>
  </si>
  <si>
    <t xml:space="preserve">Price List</t>
  </si>
</sst>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Type="http://schemas.openxmlformats.org/officeDocument/2006/relationships/sharedStrings" Target="sharedStrings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Spend by Category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cat>
            <c:strRef>
              <c:f>Inventory!$O$4:$O$9</c:f>
            </c:strRef>
          </c:cat>
          <c:val>
            <c:numRef>
              <c:f>Inventory!$P$4:$P$9</c:f>
            </c:numRef>
          </c:val>
        </c:ser>
        <c:firstSliceAng val="0"/>
      </c:pieChart>
    </c:plotArea>
    <c:legend>
      <c:legendPos val="r"/>
      <c:overlay val="0"/>
    </c:legend>
    <c:plotVisOnly val="1"/>
    <c:dispBlanksAs val="gap"/>
  </c:chart>
  <c:style val="10"/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13</row>
      <rowOff>0</rowOff>
    </from>
    <ext cx="5400000" cy="2700000"/>
    <graphicFrame>
      <nvGraphicFramePr>
        <cNvPr id="1" name="Chart 1" descr="Pie chart showing total spend by category for the Oasis Events inventory.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nvTable" displayName="InvTable" ref="A3:I12" headerRowCount="1" totalsRowCount="1" totalsRowShown="1">
  <sortState ref="A4:I11">
    <sortCondition ref="C4:C11"/>
    <sortCondition ref="B4:B11"/>
  </sortState>
  <tableColumns count="9">
    <tableColumn id="1" name="Item ID" totalsRowLabel="Total"/>
    <tableColumn id="2" name="Item Name"/>
    <tableColumn id="3" name="Category"/>
    <tableColumn id="4" name="Qty"/>
    <tableColumn id="5" name="Unit Cost"/>
    <tableColumn id="6" name="Line Total" totalsRowFunction="sum"/>
    <tableColumn id="7" name="SKU"/>
    <tableColumn id="8" name="Category Code"/>
    <tableColumn id="9" name="Item Label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12"/>
  <sheetViews>
    <sheetView showFormulas="1" showGridLines="1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sheetData>
    <row r="1" ht="15" customHeight="1" s="1">
      <c r="A1" s="3" t="s">
        <v>0</v>
      </c>
    </row>
    <row r="3" ht="15" customHeight="1" s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K3" s="2" t="s">
        <v>10</v>
      </c>
      <c r="M3" s="2" t="s">
        <v>11</v>
      </c>
      <c r="O3" s="2" t="s">
        <v>3</v>
      </c>
      <c r="P3" s="2" t="s">
        <v>12</v>
      </c>
      <c r="Q3" s="2" t="s">
        <v>13</v>
      </c>
      <c r="R3" s="2" t="s">
        <v>14</v>
      </c>
      <c r="T3" s="2" t="s">
        <v>15</v>
      </c>
      <c r="U3" s="2" t="s">
        <v>16</v>
      </c>
      <c r="V3" s="2" t="s">
        <v>17</v>
      </c>
    </row>
    <row r="4" ht="15" customHeight="1" s="1">
      <c r="A4">
        <f>_xlfn.SEQUENCE(1,1,ROW()-3,1)</f>
        <v>1</v>
      </c>
      <c r="B4" s="2" t="s">
        <v>18</v>
      </c>
      <c r="C4" s="2" t="s">
        <v>19</v>
      </c>
      <c r="D4" s="2" t="n">
        <v>120</v>
      </c>
      <c r="E4" s="4">
        <f>_xlfn.XLOOKUP(B4,PriceList!$A$4:$A$11,PriceList!$B$4:$B$11)</f>
        <v>3.5</v>
      </c>
      <c r="F4" s="4">
        <f>D4*E4</f>
        <v>420</v>
      </c>
      <c r="G4" t="str">
        <f>UPPER(LEFT(B4,3))&amp;"-"&amp;UPPER(LEFT(C4,2))</f>
        <v>FOL-FU</v>
      </c>
      <c r="H4" t="str">
        <f>UPPER(C4)&amp;LEN(C4)</f>
        <v>FURNITURE9</v>
      </c>
      <c r="I4" t="str">
        <f>_xlfn.TEXTJOIN(" - ",TRUE,B4,C4,D4)</f>
        <v>Folding Chair - Furniture - 120</v>
      </c>
      <c r="K4" s="2" t="s">
        <v>20</v>
      </c>
      <c r="M4" s="2" t="s">
        <v>21</v>
      </c>
      <c r="O4" s="2" t="s">
        <v>19</v>
      </c>
      <c r="P4">
        <f>SUMIF(C4:C11,O4,F4:F11)</f>
        <v>600</v>
      </c>
      <c r="Q4" t="str">
        <f>_xlfn._xlws.SORT(M4:M8)</f>
        <v>Glow Lighting</v>
      </c>
      <c r="R4" t="str">
        <f>_xlfn.UNIQUE(C4:C11)</f>
        <v>Furniture</v>
      </c>
      <c r="T4">
        <f>YEAR(K4)</f>
        <v>2026</v>
      </c>
      <c r="U4">
        <f>MONTH(K4)</f>
        <v>9</v>
      </c>
      <c r="V4">
        <f>DAY(K4)</f>
        <v>15</v>
      </c>
    </row>
    <row r="5" ht="15" customHeight="1" s="1">
      <c r="A5">
        <f>_xlfn.SEQUENCE(1,1,ROW()-3,1)</f>
        <v>2</v>
      </c>
      <c r="B5" s="2" t="s">
        <v>22</v>
      </c>
      <c r="C5" s="2" t="s">
        <v>19</v>
      </c>
      <c r="D5" s="2" t="n">
        <v>15</v>
      </c>
      <c r="E5" s="4">
        <f>_xlfn.XLOOKUP(B5,PriceList!$A$4:$A$11,PriceList!$B$4:$B$11)</f>
        <v>12</v>
      </c>
      <c r="F5" s="4">
        <f>D5*E5</f>
        <v>180</v>
      </c>
      <c r="G5" t="str">
        <f>UPPER(LEFT(B5,3))&amp;"-"&amp;UPPER(LEFT(C5,2))</f>
        <v>ROU-FU</v>
      </c>
      <c r="H5" t="str">
        <f>UPPER(C5)&amp;LEN(C5)</f>
        <v>FURNITURE9</v>
      </c>
      <c r="I5" t="str">
        <f>_xlfn.TEXTJOIN(" - ",TRUE,B5,C5,D5)</f>
        <v>Round Table - Furniture - 15</v>
      </c>
      <c r="M5" s="2" t="s">
        <v>23</v>
      </c>
      <c r="O5" s="2" t="s">
        <v>24</v>
      </c>
      <c r="P5">
        <f>SUMIF(C4:C11,O5,F4:F11)</f>
        <v>150</v>
      </c>
      <c r="Q5" t="str">
        <v>Oasis Catering</v>
      </c>
      <c r="R5" t="str">
        <v>Linens</v>
      </c>
    </row>
    <row r="6" ht="15" customHeight="1" s="1">
      <c r="A6">
        <f>_xlfn.SEQUENCE(1,1,ROW()-3,1)</f>
        <v>3</v>
      </c>
      <c r="B6" s="2" t="s">
        <v>25</v>
      </c>
      <c r="C6" s="2" t="s">
        <v>24</v>
      </c>
      <c r="D6" s="2" t="n">
        <v>200</v>
      </c>
      <c r="E6" s="4">
        <f>_xlfn.XLOOKUP(B6,PriceList!$A$4:$A$11,PriceList!$B$4:$B$11)</f>
        <v>0.75</v>
      </c>
      <c r="F6" s="4">
        <f>D6*E6</f>
        <v>150</v>
      </c>
      <c r="G6" t="str">
        <f>UPPER(LEFT(B6,3))&amp;"-"&amp;UPPER(LEFT(C6,2))</f>
        <v>LIN-LI</v>
      </c>
      <c r="H6" t="str">
        <f>UPPER(C6)&amp;LEN(C6)</f>
        <v>LINENS6</v>
      </c>
      <c r="I6" t="str">
        <f>_xlfn.TEXTJOIN(" - ",TRUE,B6,C6,D6)</f>
        <v>Linen Napkin - Linens - 200</v>
      </c>
      <c r="M6" s="2" t="s">
        <v>21</v>
      </c>
      <c r="O6" s="2" t="s">
        <v>26</v>
      </c>
      <c r="P6">
        <f>SUMIF(C4:C11,O6,F4:F11)</f>
        <v>184</v>
      </c>
      <c r="Q6" t="str">
        <v>Oasis Catering</v>
      </c>
      <c r="R6" t="str">
        <v>Glassware</v>
      </c>
    </row>
    <row r="7" ht="15" customHeight="1" s="1">
      <c r="A7">
        <f>_xlfn.SEQUENCE(1,1,ROW()-3,1)</f>
        <v>4</v>
      </c>
      <c r="B7" s="2" t="s">
        <v>27</v>
      </c>
      <c r="C7" s="2" t="s">
        <v>26</v>
      </c>
      <c r="D7" s="2" t="n">
        <v>80</v>
      </c>
      <c r="E7" s="4">
        <f>_xlfn.XLOOKUP(B7,PriceList!$A$4:$A$11,PriceList!$B$4:$B$11)</f>
        <v>1.25</v>
      </c>
      <c r="F7" s="4">
        <f>D7*E7</f>
        <v>100</v>
      </c>
      <c r="G7" t="str">
        <f>UPPER(LEFT(B7,3))&amp;"-"&amp;UPPER(LEFT(C7,2))</f>
        <v>WIN-GL</v>
      </c>
      <c r="H7" t="str">
        <f>UPPER(C7)&amp;LEN(C7)</f>
        <v>GLASSWARE9</v>
      </c>
      <c r="I7" t="str">
        <f>_xlfn.TEXTJOIN(" - ",TRUE,B7,C7,D7)</f>
        <v>Wine Glass - Glassware - 80</v>
      </c>
      <c r="M7" s="2" t="s">
        <v>28</v>
      </c>
      <c r="O7" s="2" t="s">
        <v>29</v>
      </c>
      <c r="P7">
        <f>SUMIF(C4:C11,O7,F4:F11)</f>
        <v>280</v>
      </c>
      <c r="Q7" t="str">
        <v>Summit Rentals</v>
      </c>
      <c r="R7" t="str">
        <v>Catering</v>
      </c>
    </row>
    <row r="8" ht="15" customHeight="1" s="1">
      <c r="A8">
        <f>_xlfn.SEQUENCE(1,1,ROW()-3,1)</f>
        <v>5</v>
      </c>
      <c r="B8" s="2" t="s">
        <v>30</v>
      </c>
      <c r="C8" s="2" t="s">
        <v>29</v>
      </c>
      <c r="D8" s="2" t="n">
        <v>10</v>
      </c>
      <c r="E8" s="4">
        <f>_xlfn.XLOOKUP(B8,PriceList!$A$4:$A$11,PriceList!$B$4:$B$11)</f>
        <v>28</v>
      </c>
      <c r="F8" s="4">
        <f>D8*E8</f>
        <v>280</v>
      </c>
      <c r="G8" t="str">
        <f>UPPER(LEFT(B8,3))&amp;"-"&amp;UPPER(LEFT(C8,2))</f>
        <v>CHA-CA</v>
      </c>
      <c r="H8" t="str">
        <f>UPPER(C8)&amp;LEN(C8)</f>
        <v>CATERING8</v>
      </c>
      <c r="I8" t="str">
        <f>_xlfn.TEXTJOIN(" - ",TRUE,B8,C8,D8)</f>
        <v>Chafing Dish - Catering - 10</v>
      </c>
      <c r="M8" s="2" t="s">
        <v>23</v>
      </c>
      <c r="O8" s="2" t="s">
        <v>31</v>
      </c>
      <c r="P8">
        <f>SUMIF(C4:C11,O8,F4:F11)</f>
        <v>360</v>
      </c>
      <c r="Q8" t="str">
        <v>Summit Rentals</v>
      </c>
      <c r="R8" t="str">
        <v>Lighting</v>
      </c>
    </row>
    <row r="9" ht="15" customHeight="1" s="1">
      <c r="A9">
        <f>_xlfn.SEQUENCE(1,1,ROW()-3,1)</f>
        <v>6</v>
      </c>
      <c r="B9" s="2" t="s">
        <v>32</v>
      </c>
      <c r="C9" s="2" t="s">
        <v>31</v>
      </c>
      <c r="D9" s="2" t="n">
        <v>24</v>
      </c>
      <c r="E9" s="4">
        <f>_xlfn.XLOOKUP(B9,PriceList!$A$4:$A$11,PriceList!$B$4:$B$11)</f>
        <v>15</v>
      </c>
      <c r="F9" s="4">
        <f>D9*E9</f>
        <v>360</v>
      </c>
      <c r="G9" t="str">
        <f>UPPER(LEFT(B9,3))&amp;"-"&amp;UPPER(LEFT(C9,2))</f>
        <v>LED-LI</v>
      </c>
      <c r="H9" t="str">
        <f>UPPER(C9)&amp;LEN(C9)</f>
        <v>LIGHTING8</v>
      </c>
      <c r="I9" t="str">
        <f>_xlfn.TEXTJOIN(" - ",TRUE,B9,C9,D9)</f>
        <v>LED Uplight - Lighting - 24</v>
      </c>
      <c r="O9" s="2" t="s">
        <v>33</v>
      </c>
      <c r="P9">
        <f>SUMIF(C4:C11,O9,F4:F11)</f>
        <v>176</v>
      </c>
      <c r="R9" t="str">
        <v>Staging</v>
      </c>
    </row>
    <row r="10" ht="15" customHeight="1" s="1">
      <c r="A10">
        <f>_xlfn.SEQUENCE(1,1,ROW()-3,1)</f>
        <v>7</v>
      </c>
      <c r="B10" s="2" t="s">
        <v>34</v>
      </c>
      <c r="C10" s="2" t="s">
        <v>33</v>
      </c>
      <c r="D10" s="2" t="n">
        <v>8</v>
      </c>
      <c r="E10" s="4">
        <f>_xlfn.XLOOKUP(B10,PriceList!$A$4:$A$11,PriceList!$B$4:$B$11)</f>
        <v>22</v>
      </c>
      <c r="F10" s="4">
        <f>D10*E10</f>
        <v>176</v>
      </c>
      <c r="G10" t="str">
        <f>UPPER(LEFT(B10,3))&amp;"-"&amp;UPPER(LEFT(C10,2))</f>
        <v>DAN-ST</v>
      </c>
      <c r="H10" t="str">
        <f>UPPER(C10)&amp;LEN(C10)</f>
        <v>STAGING7</v>
      </c>
      <c r="I10" t="str">
        <f>_xlfn.TEXTJOIN(" - ",TRUE,B10,C10,D10)</f>
        <v>Dance Floor Panel - Staging - 8</v>
      </c>
    </row>
    <row r="11" ht="15" customHeight="1" s="1">
      <c r="A11">
        <f>_xlfn.SEQUENCE(1,1,ROW()-3,1)</f>
        <v>8</v>
      </c>
      <c r="B11" s="2" t="s">
        <v>35</v>
      </c>
      <c r="C11" s="2" t="s">
        <v>26</v>
      </c>
      <c r="D11" s="2" t="n">
        <v>60</v>
      </c>
      <c r="E11" s="4">
        <f>_xlfn.XLOOKUP(B11,PriceList!$A$4:$A$11,PriceList!$B$4:$B$11)</f>
        <v>1.4</v>
      </c>
      <c r="F11" s="4">
        <f>D11*E11</f>
        <v>84</v>
      </c>
      <c r="G11" t="str">
        <f>UPPER(LEFT(B11,3))&amp;"-"&amp;UPPER(LEFT(C11,2))</f>
        <v>CHA-GL</v>
      </c>
      <c r="H11" t="str">
        <f>UPPER(C11)&amp;LEN(C11)</f>
        <v>GLASSWARE9</v>
      </c>
      <c r="I11" t="str">
        <f>_xlfn.TEXTJOIN(" - ",TRUE,B11,C11,D11)</f>
        <v>Champagne Flute - Glassware - 60</v>
      </c>
    </row>
    <row r="12">
      <c r="A12" t="s">
        <v>36</v>
      </c>
      <c r="F12" s="4">
        <f>SUBTOTAL(109,F4:F11)</f>
        <v>1750</v>
      </c>
    </row>
  </sheetData>
  <mergeCells count="1">
    <mergeCell ref="A1:V1"/>
  </mergeCells>
  <conditionalFormatting sqref="D4:D11">
    <cfRule type="iconSet" priority="1">
      <iconSet iconSet="3TrafficLights1">
        <cfvo type="percent" val="0"/>
        <cfvo type="percent" val="33"/>
        <cfvo type="percent" val="67"/>
      </iconSet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headerFooter>
    <oddHeader>&amp;LOasis Events</oddHeader>
    <oddFooter>&amp;RPage &amp;P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">
      <c r="A1" s="2" t="s">
        <v>37</v>
      </c>
    </row>
    <row r="3" ht="15" customHeight="1" s="1">
      <c r="A3" s="2" t="s">
        <v>2</v>
      </c>
      <c r="B3" s="2" t="s">
        <v>5</v>
      </c>
    </row>
    <row r="4" ht="15" customHeight="1" s="1">
      <c r="A4" s="2" t="s">
        <v>18</v>
      </c>
      <c r="B4" s="2" t="n">
        <v>3.5</v>
      </c>
    </row>
    <row r="5" ht="15" customHeight="1" s="1">
      <c r="A5" s="2" t="s">
        <v>22</v>
      </c>
      <c r="B5" s="2" t="n">
        <v>12</v>
      </c>
    </row>
    <row r="6" ht="15" customHeight="1" s="1">
      <c r="A6" s="2" t="s">
        <v>25</v>
      </c>
      <c r="B6" s="2" t="n">
        <v>0.75</v>
      </c>
    </row>
    <row r="7" ht="15" customHeight="1" s="1">
      <c r="A7" s="2" t="s">
        <v>27</v>
      </c>
      <c r="B7" s="2" t="n">
        <v>1.25</v>
      </c>
    </row>
    <row r="8" ht="15" customHeight="1" s="1">
      <c r="A8" s="2" t="s">
        <v>30</v>
      </c>
      <c r="B8" s="2" t="n">
        <v>28</v>
      </c>
    </row>
    <row r="9" ht="15" customHeight="1" s="1">
      <c r="A9" s="2" t="s">
        <v>32</v>
      </c>
      <c r="B9" s="2" t="n">
        <v>15</v>
      </c>
    </row>
    <row r="10" ht="15" customHeight="1" s="1">
      <c r="A10" s="2" t="s">
        <v>34</v>
      </c>
      <c r="B10" s="2" t="n">
        <v>22</v>
      </c>
    </row>
    <row r="11" ht="15" customHeight="1" s="1">
      <c r="A11" s="2" t="s">
        <v>35</v>
      </c>
      <c r="B11" s="2" t="n">
        <v>1.4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Event Inventory &amp; Budget</dc:title>
  <dc:creator>Dr. Mark Taormino</dc:creator>
  <cp:lastModifiedBy>Dr. Mark Taormino</cp:lastModifiedBy>
  <cp:revision>1</cp:revision>
  <dcterms:created xsi:type="dcterms:W3CDTF">2026-08-14T20:49:44Z</dcterms:created>
  <dcterms:modified xsi:type="dcterms:W3CDTF">2026-08-14T20:49:44Z</dcterms:modified>
  <dc:language>en-US</dc:language>
</cp:coreProperties>
</file>