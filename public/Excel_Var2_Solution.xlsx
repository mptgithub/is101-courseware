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ory" sheetId="1" state="visible" r:id="rId3"/>
    <sheet name="PriceList" sheetId="2" state="visible" r:id="rId4"/>
  </sheets>
  <definedNames>
    <definedName function="false" hidden="true" localSheetId="0" name="_xlnm._FilterDatabase" vbProcedure="false">Inventory!$A$3:$I$11</definedName>
    <definedName function="false" hidden="false" name="PriceList" vbProcedure="false">PriceList!$A$4:$B$11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<sst xmlns="http://schemas.openxmlformats.org/spreadsheetml/2006/main" count="57" uniqueCount="36">
  <si>
    <t xml:space="preserve">Oasis Events - Inventory &amp; Budget</t>
  </si>
  <si>
    <t xml:space="preserve">Item ID</t>
  </si>
  <si>
    <t xml:space="preserve">Item Name</t>
  </si>
  <si>
    <t xml:space="preserve">Category</t>
  </si>
  <si>
    <t xml:space="preserve">Qty</t>
  </si>
  <si>
    <t xml:space="preserve">Unit Cost</t>
  </si>
  <si>
    <t xml:space="preserve">Line Total</t>
  </si>
  <si>
    <t xml:space="preserve">SKU</t>
  </si>
  <si>
    <t xml:space="preserve">Category Code</t>
  </si>
  <si>
    <t xml:space="preserve">Item Label</t>
  </si>
  <si>
    <t xml:space="preserve">Event Date</t>
  </si>
  <si>
    <t xml:space="preserve">Vendor</t>
  </si>
  <si>
    <t xml:space="preserve">Sorted Vendors</t>
  </si>
  <si>
    <t xml:space="preserve">Categories</t>
  </si>
  <si>
    <t xml:space="preserve">Y/M/D</t>
  </si>
  <si>
    <t xml:space="preserve">Folding Chair</t>
  </si>
  <si>
    <t xml:space="preserve">Furniture</t>
  </si>
  <si>
    <t xml:space="preserve">2026-09-15</t>
  </si>
  <si>
    <t xml:space="preserve">Summit Rentals</t>
  </si>
  <si>
    <t xml:space="preserve">Round Table</t>
  </si>
  <si>
    <t xml:space="preserve">Oasis Catering</t>
  </si>
  <si>
    <t xml:space="preserve">Linen Napkin</t>
  </si>
  <si>
    <t xml:space="preserve">Linens</t>
  </si>
  <si>
    <t xml:space="preserve">Wine Glass</t>
  </si>
  <si>
    <t xml:space="preserve">Glassware</t>
  </si>
  <si>
    <t xml:space="preserve">Glow Lighting</t>
  </si>
  <si>
    <t xml:space="preserve">Chafing Dish</t>
  </si>
  <si>
    <t xml:space="preserve">Catering</t>
  </si>
  <si>
    <t xml:space="preserve">Spend</t>
  </si>
  <si>
    <t xml:space="preserve">LED Uplight</t>
  </si>
  <si>
    <t xml:space="preserve">Lighting</t>
  </si>
  <si>
    <t xml:space="preserve">Dance Floor Panel</t>
  </si>
  <si>
    <t xml:space="preserve">Staging</t>
  </si>
  <si>
    <t xml:space="preserve">Champagne Flute</t>
  </si>
  <si>
    <t xml:space="preserve">Total</t>
  </si>
  <si>
    <t xml:space="preserve">Price List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</si>
</sst>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4F81BD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BACC6"/>
      <rgbColor rgb="FF9BBB59"/>
      <rgbColor rgb="FFFFCC00"/>
      <rgbColor rgb="FFF79646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style val="10"/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Spend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Inventory!L8</c:f>
              <c:strCache>
                <c:ptCount val="1"/>
                <c:pt idx="0">
                  <c:v>Spend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Pt>
            <c:idx val="5"/>
            <c:spPr>
              <a:solidFill>
                <a:srgbClr val="f7964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Inventory!$K$9:$K$14</c:f>
              <c:strCache>
                <c:ptCount val="6"/>
                <c:pt idx="0">
                  <c:v>Furniture</c:v>
                </c:pt>
                <c:pt idx="1">
                  <c:v>Linens</c:v>
                </c:pt>
                <c:pt idx="2">
                  <c:v>Glassware</c:v>
                </c:pt>
                <c:pt idx="3">
                  <c:v>Catering</c:v>
                </c:pt>
                <c:pt idx="4">
                  <c:v>Lighting</c:v>
                </c:pt>
                <c:pt idx="5">
                  <c:v>Staging</c:v>
                </c:pt>
              </c:strCache>
            </c:strRef>
          </c:cat>
          <c:val>
            <c:numRef>
              <c:f>Inventory!$L$9:$L$14</c:f>
              <c:numCache>
                <c:formatCode>General</c:formatCode>
                <c:ptCount val="6"/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16</xdr:row>
      <xdr:rowOff>0</xdr:rowOff>
    </xdr:from>
    <xdr:to>
      <xdr:col>18</xdr:col>
      <xdr:colOff>507600</xdr:colOff>
      <xdr:row>30</xdr:row>
      <xdr:rowOff>32760</xdr:rowOff>
    </xdr:to>
    <xdr:graphicFrame>
      <xdr:nvGraphicFramePr>
        <xdr:cNvPr id="0" name="Chart 1" descr="Pie chart showing total spend by inventory category for the Oasis Events budget."/>
        <xdr:cNvGraphicFramePr/>
      </xdr:nvGraphicFramePr>
      <xdr:xfrm>
        <a:off x="6114960" y="304812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InvTable" displayName="InvTable" ref="A3:I12" headerRowCount="1" totalsRowCount="1" totalsRowShown="1">
  <autoFilter ref="A3:I12"/>
  <tableColumns count="9">
    <tableColumn id="1" name="Item ID"/>
    <tableColumn id="2" name="Item Name"/>
    <tableColumn id="3" name="Category"/>
    <tableColumn id="4" name="Qty"/>
    <tableColumn id="5" name="Unit Cost"/>
    <tableColumn id="6" name="Line Total"/>
    <tableColumn id="7" name="SKU"/>
    <tableColumn id="8" name="Category Code"/>
    <tableColumn id="9" name="Item Label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4"/>
  <sheetViews>
    <sheetView showFormulas="1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K3" s="2" t="s">
        <v>10</v>
      </c>
      <c r="M3" s="2" t="s">
        <v>11</v>
      </c>
      <c r="O3" s="3" t="s">
        <v>12</v>
      </c>
      <c r="P3" s="3" t="s">
        <v>13</v>
      </c>
      <c r="R3" s="3" t="s">
        <v>14</v>
      </c>
    </row>
    <row r="4" customFormat="false" ht="15" hidden="false" customHeight="true" outlineLevel="0" collapsed="false">
      <c r="A4" s="0" t="e">
        <f aca="false">sequence(8)</f>
        <v>#NAME?</v>
      </c>
      <c r="B4" s="2" t="s">
        <v>15</v>
      </c>
      <c r="C4" s="2" t="s">
        <v>16</v>
      </c>
      <c r="D4" s="4" t="n">
        <v>120</v>
      </c>
      <c r="E4" s="5" t="e">
        <f aca="false">xlookup(B4,PriceList!$A$4:$A$11,PriceList!$B$4:$B$11)</f>
        <v>#NAME?</v>
      </c>
      <c r="F4" s="5" t="e">
        <f aca="false">InvTable[@qty]*InvTable[@[unit cost]]</f>
        <v>#N/A</v>
      </c>
      <c r="G4" s="0" t="str">
        <f aca="false">UPPER(LEFT(B4,3))&amp;"-"&amp;MID(C4,1,2)</f>
        <v>FOL-Fu</v>
      </c>
      <c r="H4" s="0" t="str">
        <f aca="false">UPPER(C4)&amp;LEN(C4)</f>
        <v>FURNITURE9</v>
      </c>
      <c r="I4" s="3" t="e">
        <f aca="false">textjoin(" | ",TRUE(),B4,C4,D4)</f>
        <v>#NAME?</v>
      </c>
      <c r="K4" s="2" t="s">
        <v>17</v>
      </c>
      <c r="M4" s="2" t="s">
        <v>18</v>
      </c>
      <c r="O4" s="3" t="e">
        <f aca="false">sort(unique(M4:M8))</f>
        <v>#NAME?</v>
      </c>
      <c r="P4" s="3" t="e">
        <f aca="false">unique(C4:C11)</f>
        <v>#NAME?</v>
      </c>
      <c r="R4" s="3" t="n">
        <f aca="false">YEAR(K4)</f>
        <v>2026</v>
      </c>
      <c r="S4" s="3" t="n">
        <f aca="false">MONTH(K4)</f>
        <v>9</v>
      </c>
      <c r="T4" s="3" t="n">
        <f aca="false">DAY(K4)</f>
        <v>15</v>
      </c>
    </row>
    <row r="5" customFormat="false" ht="15" hidden="false" customHeight="true" outlineLevel="0" collapsed="false">
      <c r="B5" s="2" t="s">
        <v>19</v>
      </c>
      <c r="C5" s="2" t="s">
        <v>16</v>
      </c>
      <c r="D5" s="4" t="n">
        <v>30</v>
      </c>
      <c r="E5" s="5" t="e">
        <f aca="false">xlookup(B5,PriceList!$A$4:$A$11,PriceList!$B$4:$B$11)</f>
        <v>#NAME?</v>
      </c>
      <c r="F5" s="5" t="e">
        <f aca="false">InvTable[@qty]*InvTable[@[unit cost]]</f>
        <v>#N/A</v>
      </c>
      <c r="G5" s="0" t="str">
        <f aca="false">UPPER(LEFT(B5,3))&amp;"-"&amp;MID(C5,1,2)</f>
        <v>ROU-Fu</v>
      </c>
      <c r="H5" s="0" t="str">
        <f aca="false">UPPER(C5)&amp;LEN(C5)</f>
        <v>FURNITURE9</v>
      </c>
      <c r="I5" s="3" t="e">
        <f aca="false">textjoin(" | ",TRUE(),B5,C5,D5)</f>
        <v>#NAME?</v>
      </c>
      <c r="M5" s="2" t="s">
        <v>20</v>
      </c>
    </row>
    <row r="6" customFormat="false" ht="15" hidden="false" customHeight="true" outlineLevel="0" collapsed="false">
      <c r="B6" s="2" t="s">
        <v>21</v>
      </c>
      <c r="C6" s="2" t="s">
        <v>22</v>
      </c>
      <c r="D6" s="4" t="n">
        <v>400</v>
      </c>
      <c r="E6" s="5" t="e">
        <f aca="false">xlookup(B6,PriceList!$A$4:$A$11,PriceList!$B$4:$B$11)</f>
        <v>#NAME?</v>
      </c>
      <c r="F6" s="5" t="e">
        <f aca="false">InvTable[@qty]*InvTable[@[unit cost]]</f>
        <v>#N/A</v>
      </c>
      <c r="G6" s="0" t="str">
        <f aca="false">UPPER(LEFT(B6,3))&amp;"-"&amp;MID(C6,1,2)</f>
        <v>LIN-Li</v>
      </c>
      <c r="H6" s="0" t="str">
        <f aca="false">UPPER(C6)&amp;LEN(C6)</f>
        <v>LINENS6</v>
      </c>
      <c r="I6" s="3" t="e">
        <f aca="false">textjoin(" | ",TRUE(),B6,C6,D6)</f>
        <v>#NAME?</v>
      </c>
      <c r="M6" s="2" t="s">
        <v>18</v>
      </c>
    </row>
    <row r="7" customFormat="false" ht="15" hidden="false" customHeight="true" outlineLevel="0" collapsed="false">
      <c r="B7" s="2" t="s">
        <v>23</v>
      </c>
      <c r="C7" s="2" t="s">
        <v>24</v>
      </c>
      <c r="D7" s="4" t="n">
        <v>250</v>
      </c>
      <c r="E7" s="5" t="e">
        <f aca="false">xlookup(B7,PriceList!$A$4:$A$11,PriceList!$B$4:$B$11)</f>
        <v>#NAME?</v>
      </c>
      <c r="F7" s="5" t="e">
        <f aca="false">InvTable[@qty]*InvTable[@[unit cost]]</f>
        <v>#N/A</v>
      </c>
      <c r="G7" s="0" t="str">
        <f aca="false">UPPER(LEFT(B7,3))&amp;"-"&amp;MID(C7,1,2)</f>
        <v>WIN-Gl</v>
      </c>
      <c r="H7" s="0" t="str">
        <f aca="false">UPPER(C7)&amp;LEN(C7)</f>
        <v>GLASSWARE9</v>
      </c>
      <c r="I7" s="3" t="e">
        <f aca="false">textjoin(" | ",TRUE(),B7,C7,D7)</f>
        <v>#NAME?</v>
      </c>
      <c r="M7" s="2" t="s">
        <v>25</v>
      </c>
    </row>
    <row r="8" customFormat="false" ht="15" hidden="false" customHeight="true" outlineLevel="0" collapsed="false">
      <c r="B8" s="2" t="s">
        <v>26</v>
      </c>
      <c r="C8" s="2" t="s">
        <v>27</v>
      </c>
      <c r="D8" s="4" t="n">
        <v>18</v>
      </c>
      <c r="E8" s="5" t="e">
        <f aca="false">xlookup(B8,PriceList!$A$4:$A$11,PriceList!$B$4:$B$11)</f>
        <v>#NAME?</v>
      </c>
      <c r="F8" s="5" t="e">
        <f aca="false">InvTable[@qty]*InvTable[@[unit cost]]</f>
        <v>#N/A</v>
      </c>
      <c r="G8" s="0" t="str">
        <f aca="false">UPPER(LEFT(B8,3))&amp;"-"&amp;MID(C8,1,2)</f>
        <v>CHA-Ca</v>
      </c>
      <c r="H8" s="0" t="str">
        <f aca="false">UPPER(C8)&amp;LEN(C8)</f>
        <v>CATERING8</v>
      </c>
      <c r="I8" s="3" t="e">
        <f aca="false">textjoin(" | ",TRUE(),B8,C8,D8)</f>
        <v>#NAME?</v>
      </c>
      <c r="K8" s="3" t="s">
        <v>3</v>
      </c>
      <c r="L8" s="3" t="s">
        <v>28</v>
      </c>
      <c r="M8" s="2" t="s">
        <v>20</v>
      </c>
    </row>
    <row r="9" customFormat="false" ht="15" hidden="false" customHeight="true" outlineLevel="0" collapsed="false">
      <c r="B9" s="2" t="s">
        <v>29</v>
      </c>
      <c r="C9" s="2" t="s">
        <v>30</v>
      </c>
      <c r="D9" s="4" t="n">
        <v>60</v>
      </c>
      <c r="E9" s="5" t="e">
        <f aca="false">xlookup(B9,PriceList!$A$4:$A$11,PriceList!$B$4:$B$11)</f>
        <v>#NAME?</v>
      </c>
      <c r="F9" s="5" t="e">
        <f aca="false">InvTable[@qty]*InvTable[@[unit cost]]</f>
        <v>#N/A</v>
      </c>
      <c r="G9" s="0" t="str">
        <f aca="false">UPPER(LEFT(B9,3))&amp;"-"&amp;MID(C9,1,2)</f>
        <v>LED-Li</v>
      </c>
      <c r="H9" s="0" t="str">
        <f aca="false">UPPER(C9)&amp;LEN(C9)</f>
        <v>LIGHTING8</v>
      </c>
      <c r="I9" s="3" t="e">
        <f aca="false">textjoin(" | ",TRUE(),B9,C9,D9)</f>
        <v>#NAME?</v>
      </c>
      <c r="K9" s="3" t="s">
        <v>16</v>
      </c>
      <c r="L9" s="3" t="e">
        <f aca="false">SUMIF(C4:C11,K9,F4:F11)</f>
        <v>#N/A</v>
      </c>
    </row>
    <row r="10" customFormat="false" ht="15" hidden="false" customHeight="true" outlineLevel="0" collapsed="false">
      <c r="B10" s="2" t="s">
        <v>31</v>
      </c>
      <c r="C10" s="2" t="s">
        <v>32</v>
      </c>
      <c r="D10" s="4" t="n">
        <v>48</v>
      </c>
      <c r="E10" s="5" t="e">
        <f aca="false">xlookup(B10,PriceList!$A$4:$A$11,PriceList!$B$4:$B$11)</f>
        <v>#NAME?</v>
      </c>
      <c r="F10" s="5" t="e">
        <f aca="false">InvTable[@qty]*InvTable[@[unit cost]]</f>
        <v>#N/A</v>
      </c>
      <c r="G10" s="0" t="str">
        <f aca="false">UPPER(LEFT(B10,3))&amp;"-"&amp;MID(C10,1,2)</f>
        <v>DAN-St</v>
      </c>
      <c r="H10" s="0" t="str">
        <f aca="false">UPPER(C10)&amp;LEN(C10)</f>
        <v>STAGING7</v>
      </c>
      <c r="I10" s="3" t="e">
        <f aca="false">textjoin(" | ",TRUE(),B10,C10,D10)</f>
        <v>#NAME?</v>
      </c>
      <c r="K10" s="3" t="s">
        <v>22</v>
      </c>
      <c r="L10" s="3" t="e">
        <f aca="false">SUMIF(C4:C11,K10,F4:F11)</f>
        <v>#N/A</v>
      </c>
    </row>
    <row r="11" customFormat="false" ht="15" hidden="false" customHeight="true" outlineLevel="0" collapsed="false">
      <c r="B11" s="2" t="s">
        <v>33</v>
      </c>
      <c r="C11" s="2" t="s">
        <v>24</v>
      </c>
      <c r="D11" s="4" t="n">
        <v>200</v>
      </c>
      <c r="E11" s="5" t="e">
        <f aca="false">xlookup(B11,PriceList!$A$4:$A$11,PriceList!$B$4:$B$11)</f>
        <v>#NAME?</v>
      </c>
      <c r="F11" s="5" t="e">
        <f aca="false">InvTable[@qty]*InvTable[@[unit cost]]</f>
        <v>#N/A</v>
      </c>
      <c r="G11" s="0" t="str">
        <f aca="false">UPPER(LEFT(B11,3))&amp;"-"&amp;MID(C11,1,2)</f>
        <v>CHA-Gl</v>
      </c>
      <c r="H11" s="0" t="str">
        <f aca="false">UPPER(C11)&amp;LEN(C11)</f>
        <v>GLASSWARE9</v>
      </c>
      <c r="I11" s="3" t="e">
        <f aca="false">textjoin(" | ",TRUE(),B11,C11,D11)</f>
        <v>#NAME?</v>
      </c>
      <c r="K11" s="3" t="s">
        <v>24</v>
      </c>
      <c r="L11" s="3" t="e">
        <f aca="false">SUMIF(C4:C11,K11,F4:F11)</f>
        <v>#N/A</v>
      </c>
    </row>
    <row r="12" customFormat="false" ht="15" hidden="false" customHeight="false" outlineLevel="0" collapsed="false">
      <c r="B12" s="0" t="s">
        <v>34</v>
      </c>
      <c r="F12" s="0" t="e">
        <f aca="false">SUBTOTAL(109,F4:F11)</f>
        <v>#N/A</v>
      </c>
      <c r="K12" s="0" t="s">
        <v>27</v>
      </c>
      <c r="L12" s="0" t="e">
        <f aca="false">SUMIF(C4:C11,K12,F4:F11)</f>
        <v>#N/A</v>
      </c>
    </row>
    <row r="13" customFormat="false" ht="15" hidden="false" customHeight="false" outlineLevel="0" collapsed="false">
      <c r="K13" s="0" t="s">
        <v>30</v>
      </c>
      <c r="L13" s="0" t="e">
        <f aca="false">SUMIF(C4:C11,K13,F4:F11)</f>
        <v>#N/A</v>
      </c>
    </row>
    <row r="14" customFormat="false" ht="15" hidden="false" customHeight="false" outlineLevel="0" collapsed="false">
      <c r="K14" s="0" t="s">
        <v>32</v>
      </c>
      <c r="L14" s="0" t="e">
        <f aca="false">SUMIF(C4:C11,K14,F4:F11)</f>
        <v>#N/A</v>
      </c>
    </row>
  </sheetData>
  <autoFilter ref="A3:I11">
    <sortState ref="A4:I11">
      <sortCondition ref="C4:C11"/>
      <sortCondition ref="B4:B11"/>
    </sortState>
  </autoFilter>
  <mergeCells count="1">
    <mergeCell ref="A1:I1"/>
  </mergeCells>
  <conditionalFormatting sqref="D4:D11">
    <cfRule type="iconSet" priority="2">
      <iconSet iconSet="3TrafficLights1">
        <cfvo type="num" val="0"/>
        <cfvo type="num" val="20"/>
        <cfvo type="num" val="100"/>
      </iconSet>
    </cfRule>
  </conditionalFormatting>
  <printOptions headings="false" gridLines="false" gridLinesSet="true" horizontalCentered="false" verticalCentered="false"/>
  <pageMargins left="0.75" right="0.75" top="1" bottom="1" header="0.511805555555556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&amp;COasis Events - Inventory Budget</oddHeader>
    <oddFooter>&amp;CPage &amp;P</oddFooter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2" t="s">
        <v>35</v>
      </c>
    </row>
    <row r="3" customFormat="false" ht="15" hidden="false" customHeight="true" outlineLevel="0" collapsed="false">
      <c r="A3" s="2" t="s">
        <v>2</v>
      </c>
      <c r="B3" s="2" t="s">
        <v>5</v>
      </c>
    </row>
    <row r="4" customFormat="false" ht="15" hidden="false" customHeight="true" outlineLevel="0" collapsed="false">
      <c r="A4" s="2" t="s">
        <v>15</v>
      </c>
      <c r="B4" s="2" t="n">
        <v>3.5</v>
      </c>
    </row>
    <row r="5" customFormat="false" ht="15" hidden="false" customHeight="true" outlineLevel="0" collapsed="false">
      <c r="A5" s="2" t="s">
        <v>19</v>
      </c>
      <c r="B5" s="2" t="n">
        <v>12</v>
      </c>
    </row>
    <row r="6" customFormat="false" ht="15" hidden="false" customHeight="true" outlineLevel="0" collapsed="false">
      <c r="A6" s="2" t="s">
        <v>21</v>
      </c>
      <c r="B6" s="2" t="n">
        <v>0.75</v>
      </c>
    </row>
    <row r="7" customFormat="false" ht="15" hidden="false" customHeight="true" outlineLevel="0" collapsed="false">
      <c r="A7" s="2" t="s">
        <v>23</v>
      </c>
      <c r="B7" s="2" t="n">
        <v>1.25</v>
      </c>
    </row>
    <row r="8" customFormat="false" ht="15" hidden="false" customHeight="true" outlineLevel="0" collapsed="false">
      <c r="A8" s="2" t="s">
        <v>26</v>
      </c>
      <c r="B8" s="2" t="n">
        <v>28</v>
      </c>
    </row>
    <row r="9" customFormat="false" ht="15" hidden="false" customHeight="true" outlineLevel="0" collapsed="false">
      <c r="A9" s="2" t="s">
        <v>29</v>
      </c>
      <c r="B9" s="2" t="n">
        <v>15</v>
      </c>
    </row>
    <row r="10" customFormat="false" ht="15" hidden="false" customHeight="true" outlineLevel="0" collapsed="false">
      <c r="A10" s="2" t="s">
        <v>31</v>
      </c>
      <c r="B10" s="2" t="n">
        <v>22</v>
      </c>
    </row>
    <row r="11" customFormat="false" ht="15" hidden="false" customHeight="true" outlineLevel="0" collapsed="false">
      <c r="A11" s="2" t="s">
        <v>33</v>
      </c>
      <c r="B11" s="2" t="n">
        <v>1.4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2026-06-23T06:56:27Z</dcterms:created>
  <dc:creator>Operations Analyst</dc:creator>
  <dc:description/>
  <dc:language>en-US</dc:language>
  <cp:lastModifiedBy/>
  <dcterms:modified xsi:type="dcterms:W3CDTF">2026-06-24T01:36:06Z</dcterms:modified>
  <cp:revision>1</cp:revision>
  <dc:subject/>
  <dc:title>Event Inventory &amp; Budget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