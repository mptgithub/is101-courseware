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heets/sheet1.xml" ContentType="application/vnd.openxmlformats-officedocument.spreadsheetml.chart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ster" sheetId="1" state="visible" r:id="rId3"/>
    <sheet name="Certifications" sheetId="2" state="visible" r:id="rId4"/>
    <sheet name="Headcount Chart" sheetId="3" state="visible" r:id="rId7"/>
  </sheets>
  <definedNames>
    <definedName function="false" hidden="false" localSheetId="0" name="_xlnm.Print_Area" vbProcedure="false">Roster!$A$1:$K$11</definedName>
    <definedName function="false" hidden="true" localSheetId="0" name="_xlnm._FilterDatabase" vbProcedure="false">Roster!$A$3:$G$11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3" authorId="0">
      <text>
        <r>
          <rPr>
            <sz val="10"/>
            <rFont val="Arial"/>
            <family val="2"/>
          </rPr>
          <t xml:space="preserve">Please confirm PTO balances with HR before the operations meeting.</t>
        </r>
      </text>
    </comment>
  </commentList>
</comments>
</file>

<file path=xl/sharedStrings.xml><?xml version="1.0" encoding="utf-8"?>
<sst xmlns="http://schemas.openxmlformats.org/spreadsheetml/2006/main" count="78" uniqueCount="60">
  <si>
    <t xml:space="preserve">Nevada Valley Healthcare - Staffing</t>
  </si>
  <si>
    <t xml:space="preserve">Department</t>
  </si>
  <si>
    <t xml:space="preserve">Staff Name</t>
  </si>
  <si>
    <t xml:space="preserve">Role</t>
  </si>
  <si>
    <t xml:space="preserve">Hourly Rate</t>
  </si>
  <si>
    <t xml:space="preserve">Responsibilities</t>
  </si>
  <si>
    <t xml:space="preserve">Coverage %</t>
  </si>
  <si>
    <t xml:space="preserve">PTO Days</t>
  </si>
  <si>
    <t xml:space="preserve">W1</t>
  </si>
  <si>
    <t xml:space="preserve">W2</t>
  </si>
  <si>
    <t xml:space="preserve">W4</t>
  </si>
  <si>
    <t xml:space="preserve">Emergency</t>
  </si>
  <si>
    <t xml:space="preserve">A. Brooks</t>
  </si>
  <si>
    <t xml:space="preserve">RN</t>
  </si>
  <si>
    <t xml:space="preserve">Triage, acute care, charting</t>
  </si>
  <si>
    <t xml:space="preserve">C. Diaz</t>
  </si>
  <si>
    <t xml:space="preserve">Tech</t>
  </si>
  <si>
    <t xml:space="preserve">Patient transport, vitals, stocking</t>
  </si>
  <si>
    <t xml:space="preserve">Cardiology</t>
  </si>
  <si>
    <t xml:space="preserve">E. Flores</t>
  </si>
  <si>
    <t xml:space="preserve">Telemetry monitoring, med admin</t>
  </si>
  <si>
    <t xml:space="preserve">G. Hart</t>
  </si>
  <si>
    <t xml:space="preserve">NP</t>
  </si>
  <si>
    <t xml:space="preserve">Patient assessment, care plans</t>
  </si>
  <si>
    <t xml:space="preserve">Pediatrics</t>
  </si>
  <si>
    <t xml:space="preserve">J. Kim</t>
  </si>
  <si>
    <t xml:space="preserve">Well-child visits, immunizations</t>
  </si>
  <si>
    <t xml:space="preserve">L. Moss</t>
  </si>
  <si>
    <t xml:space="preserve">Intake, growth charts, supplies</t>
  </si>
  <si>
    <t xml:space="preserve">Radiology</t>
  </si>
  <si>
    <t xml:space="preserve">N. Pearce</t>
  </si>
  <si>
    <t xml:space="preserve">Imaging prep, equipment QA</t>
  </si>
  <si>
    <t xml:space="preserve">P. Rao</t>
  </si>
  <si>
    <t xml:space="preserve">RT</t>
  </si>
  <si>
    <t xml:space="preserve">CT/MRI operation, safety checks</t>
  </si>
  <si>
    <t xml:space="preserve">Dept</t>
  </si>
  <si>
    <t xml:space="preserve">Headcount</t>
  </si>
  <si>
    <t xml:space="preserve">Shift Week Series (autofill across):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</si>
  <si>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</si>
  <si>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</si>
  <si>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</si>
  <si>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</si>
  <si>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</si>
  <si>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</si>
  <si>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</si>
  <si>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</si>
  <si>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</si>
  <si>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</si>
  <si>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</si>
  <si>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</si>
  <si>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Staff Certifications</t>
  </si>
  <si>
    <t xml:space="preserve">Certification</t>
  </si>
  <si>
    <t xml:space="preserve">Expires</t>
  </si>
  <si>
    <t xml:space="preserve">ACLS</t>
  </si>
  <si>
    <t xml:space="preserve">2027-01</t>
  </si>
  <si>
    <t xml:space="preserve">BLS</t>
  </si>
  <si>
    <t xml:space="preserve">2026-11</t>
  </si>
  <si>
    <t xml:space="preserve">2027-05</t>
  </si>
  <si>
    <t xml:space="preserve">ARRT</t>
  </si>
  <si>
    <t xml:space="preserve">2028-03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</si>
</sst>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3"/>
      <name val="Cambria"/>
      <family val="2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0" fontId="0" fillId="0" borderId="0" xfId="1" applyFont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Title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99999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Relationship Id="rId7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style val="12"/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Roster!J15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Roster!$I$16:$I$19</c:f>
              <c:strCache>
                <c:ptCount val="4"/>
                <c:pt idx="0">
                  <c:v>Emergency</c:v>
                </c:pt>
                <c:pt idx="1">
                  <c:v>Cardiology</c:v>
                </c:pt>
                <c:pt idx="2">
                  <c:v>Pediatrics</c:v>
                </c:pt>
                <c:pt idx="3">
                  <c:v>Radiology</c:v>
                </c:pt>
              </c:strCache>
            </c:strRef>
          </c:cat>
          <c:val>
            <c:numRef>
              <c:f>Roster!$J$16:$J$19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gapWidth val="150"/>
        <c:overlap val="0"/>
        <c:axId val="23441184"/>
        <c:axId val="15343494"/>
      </c:barChart>
      <c:catAx>
        <c:axId val="2344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43494"/>
        <c:crosses val="autoZero"/>
        <c:auto val="1"/>
        <c:lblAlgn val="ctr"/>
        <c:lblOffset val="100"/>
        <c:noMultiLvlLbl val="0"/>
      </c:catAx>
      <c:valAx>
        <c:axId val="153434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411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 zoomScale="100"/>
  </sheetViews>
  <pageMargins left="0.7" right="0.7" top="0.75" bottom="0.75" header="0.3" footer="0.3"/>
  <drawing r:id="rId1"/>
</chartsheet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144000" cy="6858000"/>
    <xdr:graphicFrame macro="">
      <xdr:nvGraphicFramePr>
        <xdr:cNvPr id="1" name="Headcount Chart" descr="Bar chart of staff headcount by department at Nevada Valley Healthcare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id="1" name="RosterTable" displayName="RosterTable" ref="A3:G11" headerRowCount="1" totalsRowCount="0" totalsRowShown="0">
  <autoFilter ref="A3:G11"/>
  <tableColumns count="7">
    <tableColumn id="1" name="Department"/>
    <tableColumn id="2" name="Staff Name"/>
    <tableColumn id="3" name="Role"/>
    <tableColumn id="4" name="Hourly Rate"/>
    <tableColumn id="5" name="Responsibilities"/>
    <tableColumn id="6" name="Coverage %"/>
    <tableColumn id="7" name="PTO Day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L21"/>
  <sheetViews>
    <sheetView showFormulas="false" showGridLines="true" showRowColHeaders="true" showZeros="true" rightToLeft="false" tabSelected="true" showOutlineSymbols="true" defaultGridColor="true" view="pageLayout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true" outlineLevel="0" collapsed="false">
      <c r="A1" s="10" t="s">
        <v>0</v>
      </c>
      <c r="B1" s="1"/>
      <c r="C1" s="1"/>
      <c r="D1" s="1"/>
      <c r="E1" s="1"/>
      <c r="F1" s="1"/>
      <c r="G1" s="1"/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I3" s="3" t="s">
        <v>8</v>
      </c>
      <c r="J3" s="3" t="s">
        <v>9</v>
      </c>
      <c r="K3" s="3" t="s">
        <v>10</v>
      </c>
    </row>
    <row r="4" customFormat="false" ht="15" hidden="false" customHeight="true" outlineLevel="0" collapsed="false">
      <c r="A4" s="4" t="s">
        <v>11</v>
      </c>
      <c r="B4" s="4" t="s">
        <v>12</v>
      </c>
      <c r="C4" s="4" t="s">
        <v>13</v>
      </c>
      <c r="D4" s="5" t="n">
        <v>42</v>
      </c>
      <c r="E4" s="6" t="s">
        <v>14</v>
      </c>
      <c r="F4" s="7" t="n">
        <v>0.92</v>
      </c>
      <c r="G4" s="4" t="n">
        <v>6</v>
      </c>
      <c r="I4" s="8" t="n">
        <v>5</v>
      </c>
      <c r="J4" s="8" t="n">
        <v>5</v>
      </c>
      <c r="K4" s="8" t="n">
        <v>4</v>
      </c>
    </row>
    <row r="5" customFormat="false" ht="15" hidden="false" customHeight="true" outlineLevel="0" collapsed="false">
      <c r="A5" s="4" t="s">
        <v>11</v>
      </c>
      <c r="B5" s="4" t="s">
        <v>15</v>
      </c>
      <c r="C5" s="4" t="s">
        <v>16</v>
      </c>
      <c r="D5" s="5" t="n">
        <v>24</v>
      </c>
      <c r="E5" s="6" t="s">
        <v>17</v>
      </c>
      <c r="F5" s="7" t="n">
        <v>0.85</v>
      </c>
      <c r="G5" s="4" t="n">
        <v>3</v>
      </c>
      <c r="I5" s="8" t="n">
        <v>5</v>
      </c>
      <c r="J5" s="8" t="n">
        <v>4</v>
      </c>
      <c r="K5" s="8" t="n">
        <v>5</v>
      </c>
    </row>
    <row r="6" customFormat="false" ht="15" hidden="false" customHeight="true" outlineLevel="0" collapsed="false">
      <c r="A6" s="4" t="s">
        <v>18</v>
      </c>
      <c r="B6" s="4" t="s">
        <v>19</v>
      </c>
      <c r="C6" s="4" t="s">
        <v>13</v>
      </c>
      <c r="D6" s="5" t="n">
        <v>44</v>
      </c>
      <c r="E6" s="6" t="s">
        <v>20</v>
      </c>
      <c r="F6" s="7" t="n">
        <v>0.88</v>
      </c>
      <c r="G6" s="4" t="n">
        <v>8</v>
      </c>
      <c r="I6" s="8" t="n">
        <v>4</v>
      </c>
      <c r="J6" s="8" t="n">
        <v>5</v>
      </c>
      <c r="K6" s="8" t="n">
        <v>5</v>
      </c>
    </row>
    <row r="7" customFormat="false" ht="15" hidden="false" customHeight="true" outlineLevel="0" collapsed="false">
      <c r="A7" s="4" t="s">
        <v>18</v>
      </c>
      <c r="B7" s="4" t="s">
        <v>21</v>
      </c>
      <c r="C7" s="4" t="s">
        <v>22</v>
      </c>
      <c r="D7" s="5" t="n">
        <v>58</v>
      </c>
      <c r="E7" s="6" t="s">
        <v>23</v>
      </c>
      <c r="F7" s="7" t="n">
        <v>0.95</v>
      </c>
      <c r="G7" s="4" t="n">
        <v>4</v>
      </c>
      <c r="I7" s="8" t="n">
        <v>3</v>
      </c>
      <c r="J7" s="8" t="n">
        <v>3</v>
      </c>
      <c r="K7" s="8" t="n">
        <v>4</v>
      </c>
    </row>
    <row r="8" customFormat="false" ht="15" hidden="false" customHeight="true" outlineLevel="0" collapsed="false">
      <c r="A8" s="4" t="s">
        <v>24</v>
      </c>
      <c r="B8" s="4" t="s">
        <v>25</v>
      </c>
      <c r="C8" s="4" t="s">
        <v>13</v>
      </c>
      <c r="D8" s="5" t="n">
        <v>41</v>
      </c>
      <c r="E8" s="6" t="s">
        <v>26</v>
      </c>
      <c r="F8" s="7" t="n">
        <v>0.8</v>
      </c>
      <c r="G8" s="4" t="n">
        <v>5</v>
      </c>
      <c r="I8" s="8" t="n">
        <v>5</v>
      </c>
      <c r="J8" s="8" t="n">
        <v>5</v>
      </c>
      <c r="K8" s="8" t="n">
        <v>5</v>
      </c>
    </row>
    <row r="9" customFormat="false" ht="15" hidden="false" customHeight="true" outlineLevel="0" collapsed="false">
      <c r="A9" s="4" t="s">
        <v>24</v>
      </c>
      <c r="B9" s="4" t="s">
        <v>27</v>
      </c>
      <c r="C9" s="4" t="s">
        <v>16</v>
      </c>
      <c r="D9" s="5" t="n">
        <v>23</v>
      </c>
      <c r="E9" s="6" t="s">
        <v>28</v>
      </c>
      <c r="F9" s="7" t="n">
        <v>0.78</v>
      </c>
      <c r="G9" s="4" t="n">
        <v>2</v>
      </c>
      <c r="I9" s="8" t="n">
        <v>4</v>
      </c>
      <c r="J9" s="8" t="n">
        <v>4</v>
      </c>
      <c r="K9" s="8" t="n">
        <v>3</v>
      </c>
    </row>
    <row r="10" customFormat="false" ht="15" hidden="false" customHeight="true" outlineLevel="0" collapsed="false">
      <c r="A10" s="4" t="s">
        <v>29</v>
      </c>
      <c r="B10" s="4" t="s">
        <v>30</v>
      </c>
      <c r="C10" s="4" t="s">
        <v>16</v>
      </c>
      <c r="D10" s="5" t="n">
        <v>30</v>
      </c>
      <c r="E10" s="6" t="s">
        <v>31</v>
      </c>
      <c r="F10" s="7" t="n">
        <v>0.9</v>
      </c>
      <c r="G10" s="4" t="n">
        <v>7</v>
      </c>
      <c r="I10" s="8" t="n">
        <v>5</v>
      </c>
      <c r="J10" s="8" t="n">
        <v>5</v>
      </c>
      <c r="K10" s="8" t="n">
        <v>4</v>
      </c>
    </row>
    <row r="11" customFormat="false" ht="15" hidden="false" customHeight="true" outlineLevel="0" collapsed="false">
      <c r="A11" s="4" t="s">
        <v>29</v>
      </c>
      <c r="B11" s="4" t="s">
        <v>32</v>
      </c>
      <c r="C11" s="4" t="s">
        <v>33</v>
      </c>
      <c r="D11" s="5" t="n">
        <v>36</v>
      </c>
      <c r="E11" s="6" t="s">
        <v>34</v>
      </c>
      <c r="F11" s="7" t="n">
        <v>0.93</v>
      </c>
      <c r="G11" s="4" t="n">
        <v>4</v>
      </c>
      <c r="I11" s="8" t="n">
        <v>4</v>
      </c>
      <c r="J11" s="8" t="n">
        <v>5</v>
      </c>
      <c r="K11" s="8" t="n">
        <v>5</v>
      </c>
    </row>
    <row r="15" customFormat="false" ht="15" hidden="false" customHeight="false" outlineLevel="0" collapsed="false">
      <c r="I15" s="9" t="s">
        <v>35</v>
      </c>
      <c r="J15" s="9" t="s">
        <v>36</v>
      </c>
    </row>
    <row r="16" customFormat="false" ht="15" hidden="false" customHeight="false" outlineLevel="0" collapsed="false">
      <c r="I16" s="9" t="s">
        <v>11</v>
      </c>
      <c r="J16" s="9" t="n">
        <f aca="false">COUNTIF(A4:A11,"Emergency")</f>
        <v>2</v>
      </c>
    </row>
    <row r="17" customFormat="false" ht="15" hidden="false" customHeight="false" outlineLevel="0" collapsed="false">
      <c r="I17" s="9" t="s">
        <v>18</v>
      </c>
      <c r="J17" s="9" t="n">
        <f aca="false">COUNTIF(A4:A11,"Cardiology")</f>
        <v>2</v>
      </c>
    </row>
    <row r="18" customFormat="false" ht="15" hidden="false" customHeight="false" outlineLevel="0" collapsed="false">
      <c r="I18" s="9" t="s">
        <v>24</v>
      </c>
      <c r="J18" s="9" t="n">
        <f aca="false">COUNTIF(A4:A11,"Pediatrics")</f>
        <v>2</v>
      </c>
    </row>
    <row r="19" customFormat="false" ht="15" hidden="false" customHeight="false" outlineLevel="0" collapsed="false">
      <c r="I19" s="9" t="s">
        <v>29</v>
      </c>
      <c r="J19" s="9" t="n">
        <f aca="false">COUNTIF(A4:A11,"Radiology")</f>
        <v>2</v>
      </c>
    </row>
    <row r="20" customFormat="false" ht="15" hidden="false" customHeight="true" outlineLevel="0" collapsed="false">
      <c r="A20" s="3" t="s">
        <v>37</v>
      </c>
    </row>
    <row r="21" customFormat="false" ht="15" hidden="false" customHeight="true" outlineLevel="0" collapsed="false">
      <c r="A21" s="3" t="s">
        <v>38</v>
      </c>
      <c r="B21" s="9" t="s">
        <v>39</v>
      </c>
      <c r="C21" s="9" t="s">
        <v>40</v>
      </c>
      <c r="D21" s="9" t="s">
        <v>41</v>
      </c>
      <c r="E21" s="9" t="s">
        <v>42</v>
      </c>
      <c r="F21" s="9" t="s">
        <v>43</v>
      </c>
      <c r="G21" s="9" t="s">
        <v>44</v>
      </c>
      <c r="H21" s="9" t="s">
        <v>45</v>
      </c>
      <c r="I21" s="9" t="s">
        <v>46</v>
      </c>
      <c r="J21" s="9" t="s">
        <v>47</v>
      </c>
      <c r="K21" s="9" t="s">
        <v>48</v>
      </c>
      <c r="L21" s="9" t="s">
        <v>49</v>
      </c>
    </row>
  </sheetData>
  <autoFilter ref="A3:G11">
    <filterColumn colId="0">
      <filters>
        <filter val="Emergency"/>
      </filters>
    </filterColumn>
  </autoFilter>
  <mergeCells count="1">
    <mergeCell ref="A1:G1"/>
  </mergeCells>
  <conditionalFormatting sqref="I4:K1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05555555556" footer="0.511805555555556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&amp;CNevada Valley Healthcare - Staffing</oddHeader>
    <oddFooter>&amp;C&amp;A</oddFooter>
  </headerFooter>
  <drawing r:id="rId2"/>
  <legacyDrawing r:id="rId3"/>
  <tableParts>
    <tablePart r:id="rId4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217346"/>
          <x14:sparklines>
            <x14:sparkline>
              <xm:f>Roster!I4:K4</xm:f>
              <xm:sqref>M4</xm:sqref>
            </x14:sparkline>
            <x14:sparkline>
              <xm:f>Roster!I5:K5</xm:f>
              <xm:sqref>M5</xm:sqref>
            </x14:sparkline>
            <x14:sparkline>
              <xm:f>Roster!I6:K6</xm:f>
              <xm:sqref>M6</xm:sqref>
            </x14:sparkline>
            <x14:sparkline>
              <xm:f>Roster!I7:K7</xm:f>
              <xm:sqref>M7</xm:sqref>
            </x14:sparkline>
            <x14:sparkline>
              <xm:f>Roster!I8:K8</xm:f>
              <xm:sqref>M8</xm:sqref>
            </x14:sparkline>
            <x14:sparkline>
              <xm:f>Roster!I9:K9</xm:f>
              <xm:sqref>M9</xm:sqref>
            </x14:sparkline>
            <x14:sparkline>
              <xm:f>Roster!I10:K10</xm:f>
              <xm:sqref>M10</xm:sqref>
            </x14:sparkline>
            <x14:sparkline>
              <xm:f>Roster!I11:K11</xm:f>
              <xm:sqref>M11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3" t="s">
        <v>50</v>
      </c>
    </row>
    <row r="3" customFormat="false" ht="15" hidden="false" customHeight="true" outlineLevel="0" collapsed="false">
      <c r="A3" s="3" t="s">
        <v>2</v>
      </c>
      <c r="B3" s="3" t="s">
        <v>51</v>
      </c>
      <c r="C3" s="3" t="s">
        <v>52</v>
      </c>
    </row>
    <row r="4" customFormat="false" ht="15" hidden="false" customHeight="true" outlineLevel="0" collapsed="false">
      <c r="A4" s="3" t="s">
        <v>12</v>
      </c>
      <c r="B4" s="3" t="s">
        <v>53</v>
      </c>
      <c r="C4" s="3" t="s">
        <v>54</v>
      </c>
    </row>
    <row r="5" customFormat="false" ht="15" hidden="false" customHeight="true" outlineLevel="0" collapsed="false">
      <c r="A5" s="3" t="s">
        <v>19</v>
      </c>
      <c r="B5" s="3" t="s">
        <v>55</v>
      </c>
      <c r="C5" s="3" t="s">
        <v>56</v>
      </c>
    </row>
    <row r="6" customFormat="false" ht="15" hidden="false" customHeight="true" outlineLevel="0" collapsed="false">
      <c r="A6" s="3" t="s">
        <v>21</v>
      </c>
      <c r="B6" s="3" t="s">
        <v>53</v>
      </c>
      <c r="C6" s="3" t="s">
        <v>57</v>
      </c>
    </row>
    <row r="7" customFormat="false" ht="15" hidden="false" customHeight="true" outlineLevel="0" collapsed="false">
      <c r="A7" s="3" t="s">
        <v>32</v>
      </c>
      <c r="B7" s="3" t="s">
        <v>58</v>
      </c>
      <c r="C7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2026-06-23T06:56:27Z</dcterms:created>
  <dc:creator>Staffing Coordinator</dc:creator>
  <dc:description/>
  <dc:language>en-US</dc:language>
  <cp:lastModifiedBy/>
  <dcterms:modified xsi:type="dcterms:W3CDTF">2026-06-23T21:18:50Z</dcterms:modified>
  <cp:revision>1</cp:revision>
  <dc:subject>Shift Coverage</dc:subject>
  <dc:title>Department Staffing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