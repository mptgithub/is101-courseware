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s" sheetId="1" state="visible" r:id="rId3"/>
    <sheet name="GradeScale" sheetId="2" state="visible" r:id="rId4"/>
  </sheets>
  <definedNames>
    <definedName function="false" hidden="true" localSheetId="0" name="_xlnm._FilterDatabase" vbProcedure="false">Grades!$A$3:$O$11</definedName>
    <definedName function="false" hidden="false" name="GradeScale" vbProcedure="false">GradeScale!$A$4:$B$8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Curve applied: +3 points to final percentage per dept policy.</t>
        </r>
      </text>
    </comment>
  </commentList>
</comments>
</file>

<file path=xl/sharedStrings.xml><?xml version="1.0" encoding="utf-8"?>
<sst xmlns="http://schemas.openxmlformats.org/spreadsheetml/2006/main" count="44" uniqueCount="43">
  <si>
    <t xml:space="preserve">CSN SOC 101 - Grade Book</t>
  </si>
  <si>
    <t xml:space="preserve">Last Name</t>
  </si>
  <si>
    <t xml:space="preserve">First Name</t>
  </si>
  <si>
    <t xml:space="preserve">HW1</t>
  </si>
  <si>
    <t xml:space="preserve">HW2</t>
  </si>
  <si>
    <t xml:space="preserve">Quiz</t>
  </si>
  <si>
    <t xml:space="preserve">Midterm</t>
  </si>
  <si>
    <t xml:space="preserve">Final</t>
  </si>
  <si>
    <t xml:space="preserve">Total</t>
  </si>
  <si>
    <t xml:space="preserve">Average</t>
  </si>
  <si>
    <t xml:space="preserve">Percent</t>
  </si>
  <si>
    <t xml:space="preserve">Pass/Fail</t>
  </si>
  <si>
    <t xml:space="preserve">Letter</t>
  </si>
  <si>
    <t xml:space="preserve">Feedback</t>
  </si>
  <si>
    <t xml:space="preserve">Letter (IF)</t>
  </si>
  <si>
    <t xml:space="preserve">Submitted</t>
  </si>
  <si>
    <t xml:space="preserve">Total Points Possible</t>
  </si>
  <si>
    <t xml:space="preserve">Report Generated:</t>
  </si>
  <si>
    <t xml:space="preserve">Adams</t>
  </si>
  <si>
    <t xml:space="preserve">Maya</t>
  </si>
  <si>
    <t xml:space="preserve">Boateng</t>
  </si>
  <si>
    <t xml:space="preserve">Kofi</t>
  </si>
  <si>
    <t xml:space="preserve">Cruz</t>
  </si>
  <si>
    <t xml:space="preserve">Diego</t>
  </si>
  <si>
    <t xml:space="preserve">Delgado</t>
  </si>
  <si>
    <t xml:space="preserve">Sara</t>
  </si>
  <si>
    <t xml:space="preserve">Evans</t>
  </si>
  <si>
    <t xml:space="preserve">Tyler</t>
  </si>
  <si>
    <t xml:space="preserve">Fischer</t>
  </si>
  <si>
    <t xml:space="preserve">Lena</t>
  </si>
  <si>
    <t xml:space="preserve">Gupta</t>
  </si>
  <si>
    <t xml:space="preserve">Ravi</t>
  </si>
  <si>
    <t xml:space="preserve">Hughes</t>
  </si>
  <si>
    <t xml:space="preserve">Noah</t>
  </si>
  <si>
    <t xml:space="preserve">A count:</t>
  </si>
  <si>
    <t xml:space="preserve">Class Avg</t>
  </si>
  <si>
    <t xml:space="preserve">Grade Scale</t>
  </si>
  <si>
    <t xml:space="preserve">Min %</t>
  </si>
  <si>
    <t xml:space="preserve">F</t>
  </si>
  <si>
    <t xml:space="preserve">D</t>
  </si>
  <si>
    <t xml:space="preserve">C</t>
  </si>
  <si>
    <t xml:space="preserve">B</t>
  </si>
  <si>
    <t xml:space="preserve">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</si>
</sst>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mm/dd/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  <fill>
      <patternFill patternType="solid">
        <fgColor rgb="FF217346"/>
        <bgColor rgb="FF21734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0" fontId="8" fillId="3" borderId="0" xfId="0" applyFont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173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217346"/>
      <rgbColor rgb="FFB3B3B3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Class Average by Assignment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Grades!$C$3:$G$3</c:f>
              <c:strCache>
                <c:ptCount val="5"/>
                <c:pt idx="0">
                  <c:v>HW1</c:v>
                </c:pt>
                <c:pt idx="1">
                  <c:v>HW2</c:v>
                </c:pt>
                <c:pt idx="2">
                  <c:v>Quiz</c:v>
                </c:pt>
                <c:pt idx="3">
                  <c:v>Midterm</c:v>
                </c:pt>
                <c:pt idx="4">
                  <c:v>Final</c:v>
                </c:pt>
              </c:strCache>
            </c:strRef>
          </c:cat>
          <c:val>
            <c:numRef>
              <c:f>Grades!$C$14</c:f>
              <c:numCache>
                <c:formatCode>General</c:formatCode>
                <c:ptCount val="1"/>
                <c:pt idx="0">
                  <c:v>15.625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Grades!$C$3:$G$3</c:f>
              <c:strCache>
                <c:ptCount val="5"/>
                <c:pt idx="0">
                  <c:v>HW1</c:v>
                </c:pt>
                <c:pt idx="1">
                  <c:v>HW2</c:v>
                </c:pt>
                <c:pt idx="2">
                  <c:v>Quiz</c:v>
                </c:pt>
                <c:pt idx="3">
                  <c:v>Midterm</c:v>
                </c:pt>
                <c:pt idx="4">
                  <c:v>Final</c:v>
                </c:pt>
              </c:strCache>
            </c:strRef>
          </c:cat>
          <c:val>
            <c:numRef>
              <c:f>Grades!$D$14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Grades!$C$3:$G$3</c:f>
              <c:strCache>
                <c:ptCount val="5"/>
                <c:pt idx="0">
                  <c:v>HW1</c:v>
                </c:pt>
                <c:pt idx="1">
                  <c:v>HW2</c:v>
                </c:pt>
                <c:pt idx="2">
                  <c:v>Quiz</c:v>
                </c:pt>
                <c:pt idx="3">
                  <c:v>Midterm</c:v>
                </c:pt>
                <c:pt idx="4">
                  <c:v>Final</c:v>
                </c:pt>
              </c:strCache>
            </c:strRef>
          </c:cat>
          <c:val>
            <c:numRef>
              <c:f>Grades!$E$14</c:f>
              <c:numCache>
                <c:formatCode>General</c:formatCode>
                <c:ptCount val="1"/>
                <c:pt idx="0">
                  <c:v>23.625</c:v>
                </c:pt>
              </c:numCache>
            </c:numRef>
          </c:val>
        </c:ser>
        <c:ser>
          <c:idx val="3"/>
          <c:order val="3"/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Grades!$C$3:$G$3</c:f>
              <c:strCache>
                <c:ptCount val="5"/>
                <c:pt idx="0">
                  <c:v>HW1</c:v>
                </c:pt>
                <c:pt idx="1">
                  <c:v>HW2</c:v>
                </c:pt>
                <c:pt idx="2">
                  <c:v>Quiz</c:v>
                </c:pt>
                <c:pt idx="3">
                  <c:v>Midterm</c:v>
                </c:pt>
                <c:pt idx="4">
                  <c:v>Final</c:v>
                </c:pt>
              </c:strCache>
            </c:strRef>
          </c:cat>
          <c:val>
            <c:numRef>
              <c:f>Grades!$F$14</c:f>
              <c:numCache>
                <c:formatCode>General</c:formatCode>
                <c:ptCount val="1"/>
                <c:pt idx="0">
                  <c:v>74.25</c:v>
                </c:pt>
              </c:numCache>
            </c:numRef>
          </c:val>
        </c:ser>
        <c:ser>
          <c:idx val="4"/>
          <c:order val="4"/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Grades!$C$3:$G$3</c:f>
              <c:strCache>
                <c:ptCount val="5"/>
                <c:pt idx="0">
                  <c:v>HW1</c:v>
                </c:pt>
                <c:pt idx="1">
                  <c:v>HW2</c:v>
                </c:pt>
                <c:pt idx="2">
                  <c:v>Quiz</c:v>
                </c:pt>
                <c:pt idx="3">
                  <c:v>Midterm</c:v>
                </c:pt>
                <c:pt idx="4">
                  <c:v>Final</c:v>
                </c:pt>
              </c:strCache>
            </c:strRef>
          </c:cat>
          <c:val>
            <c:numRef>
              <c:f>Grades!$G$14</c:f>
              <c:numCache>
                <c:formatCode>General</c:formatCode>
                <c:ptCount val="1"/>
                <c:pt idx="0">
                  <c:v>76.375</c:v>
                </c:pt>
              </c:numCache>
            </c:numRef>
          </c:val>
        </c:ser>
        <c:gapWidth val="150"/>
        <c:overlap val="0"/>
        <c:axId val="62093625"/>
        <c:axId val="73782069"/>
      </c:barChart>
      <c:catAx>
        <c:axId val="620936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82069"/>
        <c:crosses val="autoZero"/>
        <c:auto val="1"/>
        <c:lblAlgn val="ctr"/>
        <c:lblOffset val="100"/>
        <c:noMultiLvlLbl val="0"/>
      </c:catAx>
      <c:valAx>
        <c:axId val="737820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936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8</xdr:col>
      <xdr:colOff>507600</xdr:colOff>
      <xdr:row>29</xdr:row>
      <xdr:rowOff>32760</xdr:rowOff>
    </xdr:to>
    <xdr:graphicFrame>
      <xdr:nvGraphicFramePr>
        <xdr:cNvPr id="0" name="Chart 1" descr="Column chart showing the class average score for each assignment in SOC 101."/>
        <xdr:cNvGraphicFramePr/>
      </xdr:nvGraphicFramePr>
      <xdr:xfrm>
        <a:off x="0" y="2857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GradeTable" displayName="GradeTable" ref="A3:O11" headerRowCount="1" totalsRowCount="0" totalsRowShown="0">
  <autoFilter ref="A3:O11">
    <sortState ref="A4:O11">
      <sortCondition ref="C4:C11" descending="1" customList=""/>
    </sortState>
  </autoFilter>
  <tableColumns count="15">
    <tableColumn id="1" name="Last Name"/>
    <tableColumn id="2" name="First Name"/>
    <tableColumn id="3" name="HW1"/>
    <tableColumn id="4" name="HW2"/>
    <tableColumn id="5" name="Quiz"/>
    <tableColumn id="6" name="Midterm"/>
    <tableColumn id="7" name="Final"/>
    <tableColumn id="8" name="Total"/>
    <tableColumn id="9" name="Average"/>
    <tableColumn id="10" name="Percent"/>
    <tableColumn id="11" name="Pass/Fail"/>
    <tableColumn id="12" name="Letter"/>
    <tableColumn id="13" name="Feedback"/>
    <tableColumn id="14" name="Letter (IF)"/>
    <tableColumn id="15" name="Submitt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S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</row>
    <row r="3" customFormat="false" ht="15" hidden="false" customHeight="true" outlineLevel="0" collapsed="false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1" t="s">
        <v>16</v>
      </c>
      <c r="R3" s="1" t="s">
        <v>17</v>
      </c>
    </row>
    <row r="4" customFormat="false" ht="15" hidden="false" customHeight="true" outlineLevel="0" collapsed="false">
      <c r="A4" s="1" t="s">
        <v>18</v>
      </c>
      <c r="B4" s="1" t="s">
        <v>19</v>
      </c>
      <c r="C4" s="4" t="n">
        <v>18</v>
      </c>
      <c r="D4" s="4" t="n">
        <v>20</v>
      </c>
      <c r="E4" s="4" t="n">
        <v>28</v>
      </c>
      <c r="F4" s="4" t="n">
        <v>82</v>
      </c>
      <c r="G4" s="4" t="n">
        <v>88</v>
      </c>
      <c r="H4" s="1" t="n">
        <f aca="false">SUM(C4:G4)</f>
        <v>236</v>
      </c>
      <c r="I4" s="1" t="n">
        <f aca="false">AVERAGE(C4:G4)</f>
        <v>47.2</v>
      </c>
      <c r="J4" s="5" t="n">
        <f aca="false">H4/$P$4</f>
        <v>0.786666666666667</v>
      </c>
      <c r="K4" s="1" t="str">
        <f aca="false">IF(J4&gt;=0.6,"Pass","Fail")</f>
        <v>Pass</v>
      </c>
      <c r="L4" s="1" t="str">
        <f aca="false">IFERROR(VLOOKUP(J4*100,GradeScale,2,TRUE()),"Check")</f>
        <v>C</v>
      </c>
      <c r="M4" s="6"/>
      <c r="N4" s="1" t="str">
        <f aca="false">IF(J4&gt;=0.9,"A",IF(J4&gt;=0.8,"B",IF(J4&gt;=0.7,"C",IF(J4&gt;=0.6,"D","F"))))</f>
        <v>C</v>
      </c>
      <c r="O4" s="1" t="n">
        <f aca="false">COUNT(C4:G4)</f>
        <v>5</v>
      </c>
      <c r="P4" s="1" t="n">
        <v>300</v>
      </c>
      <c r="S4" s="7" t="n">
        <f aca="true">TODAY()</f>
        <v>46196</v>
      </c>
    </row>
    <row r="5" customFormat="false" ht="15" hidden="false" customHeight="true" outlineLevel="0" collapsed="false">
      <c r="A5" s="1" t="s">
        <v>20</v>
      </c>
      <c r="B5" s="1" t="s">
        <v>21</v>
      </c>
      <c r="C5" s="4" t="n">
        <v>15</v>
      </c>
      <c r="D5" s="4" t="n">
        <v>17</v>
      </c>
      <c r="E5" s="4" t="n">
        <v>22</v>
      </c>
      <c r="F5" s="4" t="n">
        <v>74</v>
      </c>
      <c r="G5" s="4" t="n">
        <v>79</v>
      </c>
      <c r="H5" s="1" t="n">
        <f aca="false">SUM(C5:G5)</f>
        <v>207</v>
      </c>
      <c r="I5" s="1" t="n">
        <f aca="false">AVERAGE(C5:G5)</f>
        <v>41.4</v>
      </c>
      <c r="J5" s="5" t="n">
        <f aca="false">H5/$P$4</f>
        <v>0.69</v>
      </c>
      <c r="K5" s="1" t="str">
        <f aca="false">IF(J5&gt;=0.6,"Pass","Fail")</f>
        <v>Pass</v>
      </c>
      <c r="L5" s="1" t="str">
        <f aca="false">IFERROR(VLOOKUP(J5*100,GradeScale,2,TRUE()),"Check")</f>
        <v>D</v>
      </c>
      <c r="M5" s="6"/>
      <c r="N5" s="1" t="str">
        <f aca="false">IF(J5&gt;=0.9,"A",IF(J5&gt;=0.8,"B",IF(J5&gt;=0.7,"C",IF(J5&gt;=0.6,"D","F"))))</f>
        <v>D</v>
      </c>
      <c r="O5" s="1" t="n">
        <f aca="false">COUNT(C5:G5)</f>
        <v>5</v>
      </c>
    </row>
    <row r="6" customFormat="false" ht="15" hidden="false" customHeight="true" outlineLevel="0" collapsed="false">
      <c r="A6" s="1" t="s">
        <v>22</v>
      </c>
      <c r="B6" s="1" t="s">
        <v>23</v>
      </c>
      <c r="C6" s="4" t="n">
        <v>20</v>
      </c>
      <c r="D6" s="4" t="n">
        <v>19</v>
      </c>
      <c r="E6" s="4" t="n">
        <v>30</v>
      </c>
      <c r="F6" s="4" t="n">
        <v>91</v>
      </c>
      <c r="G6" s="4" t="n">
        <v>94</v>
      </c>
      <c r="H6" s="1" t="n">
        <f aca="false">SUM(C6:G6)</f>
        <v>254</v>
      </c>
      <c r="I6" s="1" t="n">
        <f aca="false">AVERAGE(C6:G6)</f>
        <v>50.8</v>
      </c>
      <c r="J6" s="5" t="n">
        <f aca="false">H6/$P$4</f>
        <v>0.846666666666667</v>
      </c>
      <c r="K6" s="1" t="str">
        <f aca="false">IF(J6&gt;=0.6,"Pass","Fail")</f>
        <v>Pass</v>
      </c>
      <c r="L6" s="1" t="str">
        <f aca="false">IFERROR(VLOOKUP(J6*100,GradeScale,2,TRUE()),"Check")</f>
        <v>B</v>
      </c>
      <c r="M6" s="6"/>
      <c r="N6" s="1" t="str">
        <f aca="false">IF(J6&gt;=0.9,"A",IF(J6&gt;=0.8,"B",IF(J6&gt;=0.7,"C",IF(J6&gt;=0.6,"D","F"))))</f>
        <v>B</v>
      </c>
      <c r="O6" s="1" t="n">
        <f aca="false">COUNT(C6:G6)</f>
        <v>5</v>
      </c>
    </row>
    <row r="7" customFormat="false" ht="15" hidden="false" customHeight="true" outlineLevel="0" collapsed="false">
      <c r="A7" s="1" t="s">
        <v>24</v>
      </c>
      <c r="B7" s="1" t="s">
        <v>25</v>
      </c>
      <c r="C7" s="4" t="n">
        <v>12</v>
      </c>
      <c r="D7" s="4" t="n">
        <v>14</v>
      </c>
      <c r="E7" s="4" t="n">
        <v>18</v>
      </c>
      <c r="F7" s="4" t="n">
        <v>58</v>
      </c>
      <c r="G7" s="4" t="n">
        <v>55</v>
      </c>
      <c r="H7" s="1" t="n">
        <f aca="false">SUM(C7:G7)</f>
        <v>157</v>
      </c>
      <c r="I7" s="1" t="n">
        <f aca="false">AVERAGE(C7:G7)</f>
        <v>31.4</v>
      </c>
      <c r="J7" s="5" t="n">
        <f aca="false">H7/$P$4</f>
        <v>0.523333333333333</v>
      </c>
      <c r="K7" s="1" t="str">
        <f aca="false">IF(J7&gt;=0.6,"Pass","Fail")</f>
        <v>Fail</v>
      </c>
      <c r="L7" s="1" t="str">
        <f aca="false">IFERROR(VLOOKUP(J7*100,GradeScale,2,TRUE()),"Check")</f>
        <v>F</v>
      </c>
      <c r="M7" s="6"/>
      <c r="N7" s="1" t="str">
        <f aca="false">IF(J7&gt;=0.9,"A",IF(J7&gt;=0.8,"B",IF(J7&gt;=0.7,"C",IF(J7&gt;=0.6,"D","F"))))</f>
        <v>F</v>
      </c>
      <c r="O7" s="1" t="n">
        <f aca="false">COUNT(C7:G7)</f>
        <v>5</v>
      </c>
    </row>
    <row r="8" customFormat="false" ht="15" hidden="false" customHeight="true" outlineLevel="0" collapsed="false">
      <c r="A8" s="1" t="s">
        <v>26</v>
      </c>
      <c r="B8" s="1" t="s">
        <v>27</v>
      </c>
      <c r="C8" s="4" t="n">
        <v>17</v>
      </c>
      <c r="D8" s="4" t="n">
        <v>18</v>
      </c>
      <c r="E8" s="4" t="n">
        <v>26</v>
      </c>
      <c r="F8" s="4" t="n">
        <v>80</v>
      </c>
      <c r="G8" s="4" t="n">
        <v>85</v>
      </c>
      <c r="H8" s="1" t="n">
        <f aca="false">SUM(C8:G8)</f>
        <v>226</v>
      </c>
      <c r="I8" s="1" t="n">
        <f aca="false">AVERAGE(C8:G8)</f>
        <v>45.2</v>
      </c>
      <c r="J8" s="5" t="n">
        <f aca="false">H8/$P$4</f>
        <v>0.753333333333333</v>
      </c>
      <c r="K8" s="1" t="str">
        <f aca="false">IF(J8&gt;=0.6,"Pass","Fail")</f>
        <v>Pass</v>
      </c>
      <c r="L8" s="1" t="str">
        <f aca="false">IFERROR(VLOOKUP(J8*100,GradeScale,2,TRUE()),"Check")</f>
        <v>C</v>
      </c>
      <c r="M8" s="6"/>
      <c r="N8" s="1" t="str">
        <f aca="false">IF(J8&gt;=0.9,"A",IF(J8&gt;=0.8,"B",IF(J8&gt;=0.7,"C",IF(J8&gt;=0.6,"D","F"))))</f>
        <v>C</v>
      </c>
      <c r="O8" s="1" t="n">
        <f aca="false">COUNT(C8:G8)</f>
        <v>5</v>
      </c>
    </row>
    <row r="9" customFormat="false" ht="15" hidden="false" customHeight="true" outlineLevel="0" collapsed="false">
      <c r="A9" s="1" t="s">
        <v>28</v>
      </c>
      <c r="B9" s="1" t="s">
        <v>29</v>
      </c>
      <c r="C9" s="4" t="n">
        <v>19</v>
      </c>
      <c r="D9" s="4" t="n">
        <v>20</v>
      </c>
      <c r="E9" s="4" t="n">
        <v>29</v>
      </c>
      <c r="F9" s="4" t="n">
        <v>88</v>
      </c>
      <c r="G9" s="4" t="n">
        <v>90</v>
      </c>
      <c r="H9" s="1" t="n">
        <f aca="false">SUM(C9:G9)</f>
        <v>246</v>
      </c>
      <c r="I9" s="1" t="n">
        <f aca="false">AVERAGE(C9:G9)</f>
        <v>49.2</v>
      </c>
      <c r="J9" s="5" t="n">
        <f aca="false">H9/$P$4</f>
        <v>0.82</v>
      </c>
      <c r="K9" s="1" t="str">
        <f aca="false">IF(J9&gt;=0.6,"Pass","Fail")</f>
        <v>Pass</v>
      </c>
      <c r="L9" s="1" t="str">
        <f aca="false">IFERROR(VLOOKUP(J9*100,GradeScale,2,TRUE()),"Check")</f>
        <v>B</v>
      </c>
      <c r="M9" s="6"/>
      <c r="N9" s="1" t="str">
        <f aca="false">IF(J9&gt;=0.9,"A",IF(J9&gt;=0.8,"B",IF(J9&gt;=0.7,"C",IF(J9&gt;=0.6,"D","F"))))</f>
        <v>B</v>
      </c>
      <c r="O9" s="1" t="n">
        <f aca="false">COUNT(C9:G9)</f>
        <v>5</v>
      </c>
    </row>
    <row r="10" customFormat="false" ht="15" hidden="false" customHeight="true" outlineLevel="0" collapsed="false">
      <c r="A10" s="1" t="s">
        <v>30</v>
      </c>
      <c r="B10" s="1" t="s">
        <v>31</v>
      </c>
      <c r="C10" s="4" t="n">
        <v>14</v>
      </c>
      <c r="D10" s="4" t="n">
        <v>16</v>
      </c>
      <c r="E10" s="4" t="n">
        <v>21</v>
      </c>
      <c r="F10" s="4" t="n">
        <v>69</v>
      </c>
      <c r="G10" s="4" t="n">
        <v>72</v>
      </c>
      <c r="H10" s="1" t="n">
        <f aca="false">SUM(C10:G10)</f>
        <v>192</v>
      </c>
      <c r="I10" s="1" t="n">
        <f aca="false">AVERAGE(C10:G10)</f>
        <v>38.4</v>
      </c>
      <c r="J10" s="5" t="n">
        <f aca="false">H10/$P$4</f>
        <v>0.64</v>
      </c>
      <c r="K10" s="1" t="str">
        <f aca="false">IF(J10&gt;=0.6,"Pass","Fail")</f>
        <v>Pass</v>
      </c>
      <c r="L10" s="1" t="str">
        <f aca="false">IFERROR(VLOOKUP(J10*100,GradeScale,2,TRUE()),"Check")</f>
        <v>D</v>
      </c>
      <c r="M10" s="6"/>
      <c r="N10" s="1" t="str">
        <f aca="false">IF(J10&gt;=0.9,"A",IF(J10&gt;=0.8,"B",IF(J10&gt;=0.7,"C",IF(J10&gt;=0.6,"D","F"))))</f>
        <v>D</v>
      </c>
      <c r="O10" s="1" t="n">
        <f aca="false">COUNT(C10:G10)</f>
        <v>5</v>
      </c>
    </row>
    <row r="11" customFormat="false" ht="15" hidden="false" customHeight="true" outlineLevel="0" collapsed="false">
      <c r="A11" s="1" t="s">
        <v>32</v>
      </c>
      <c r="B11" s="1" t="s">
        <v>33</v>
      </c>
      <c r="C11" s="4" t="n">
        <v>10</v>
      </c>
      <c r="D11" s="4" t="n">
        <v>12</v>
      </c>
      <c r="E11" s="4" t="n">
        <v>15</v>
      </c>
      <c r="F11" s="4" t="n">
        <v>52</v>
      </c>
      <c r="G11" s="4" t="n">
        <v>48</v>
      </c>
      <c r="H11" s="1" t="n">
        <f aca="false">SUM(C11:G11)</f>
        <v>137</v>
      </c>
      <c r="I11" s="1" t="n">
        <f aca="false">AVERAGE(C11:G11)</f>
        <v>27.4</v>
      </c>
      <c r="J11" s="5" t="n">
        <f aca="false">H11/$P$4</f>
        <v>0.456666666666667</v>
      </c>
      <c r="K11" s="1" t="str">
        <f aca="false">IF(J11&gt;=0.6,"Pass","Fail")</f>
        <v>Fail</v>
      </c>
      <c r="L11" s="1" t="str">
        <f aca="false">IFERROR(VLOOKUP(J11*100,GradeScale,2,TRUE()),"Check")</f>
        <v>F</v>
      </c>
      <c r="M11" s="6"/>
      <c r="N11" s="1" t="str">
        <f aca="false">IF(J11&gt;=0.9,"A",IF(J11&gt;=0.8,"B",IF(J11&gt;=0.7,"C",IF(J11&gt;=0.6,"D","F"))))</f>
        <v>F</v>
      </c>
      <c r="O11" s="1" t="n">
        <f aca="false">COUNT(C11:G11)</f>
        <v>5</v>
      </c>
    </row>
    <row r="13" customFormat="false" ht="15" hidden="false" customHeight="false" outlineLevel="0" collapsed="false">
      <c r="O13" s="1" t="s">
        <v>34</v>
      </c>
      <c r="P13" s="1" t="n">
        <f aca="false">COUNTIF(L4:L11,"A")</f>
        <v>0</v>
      </c>
    </row>
    <row r="14" customFormat="false" ht="15" hidden="false" customHeight="false" outlineLevel="0" collapsed="false">
      <c r="A14" s="1" t="s">
        <v>35</v>
      </c>
      <c r="C14" s="1" t="n">
        <f aca="false">AVERAGE(C4:C11)</f>
        <v>15.625</v>
      </c>
      <c r="D14" s="1" t="n">
        <f aca="false">AVERAGE(D4:D11)</f>
        <v>17</v>
      </c>
      <c r="E14" s="1" t="n">
        <f aca="false">AVERAGE(E4:E11)</f>
        <v>23.625</v>
      </c>
      <c r="F14" s="1" t="n">
        <f aca="false">AVERAGE(F4:F11)</f>
        <v>74.25</v>
      </c>
      <c r="G14" s="1" t="n">
        <f aca="false">AVERAGE(G4:G11)</f>
        <v>76.375</v>
      </c>
    </row>
  </sheetData>
  <autoFilter ref="A3:O11">
    <filterColumn colId="10">
      <filters>
        <filter val="Fail"/>
      </filters>
    </filterColumn>
    <sortState ref="A4:O11">
      <sortCondition descending="1" ref="J4:J11"/>
      <sortCondition ref="A4:A11"/>
    </sortState>
  </autoFilter>
  <conditionalFormatting sqref="J4:J11">
    <cfRule type="cellIs" priority="2" operator="lessThan" aboveAverage="0" equalAverage="0" bottom="0" percent="0" rank="0" text="" dxfId="6">
      <formula>0.6</formula>
    </cfRule>
  </conditionalFormatting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&amp;CCSN SOC 101 - Grade Book</oddHeader>
    <oddFooter>&amp;CPage &amp;P</oddFooter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36</v>
      </c>
    </row>
    <row r="3" customFormat="false" ht="15" hidden="false" customHeight="true" outlineLevel="0" collapsed="false">
      <c r="A3" s="1" t="s">
        <v>37</v>
      </c>
      <c r="B3" s="1" t="s">
        <v>12</v>
      </c>
    </row>
    <row r="4" customFormat="false" ht="15" hidden="false" customHeight="true" outlineLevel="0" collapsed="false">
      <c r="A4" s="1" t="n">
        <v>0</v>
      </c>
      <c r="B4" s="1" t="s">
        <v>38</v>
      </c>
    </row>
    <row r="5" customFormat="false" ht="15" hidden="false" customHeight="true" outlineLevel="0" collapsed="false">
      <c r="A5" s="1" t="n">
        <v>60</v>
      </c>
      <c r="B5" s="1" t="s">
        <v>39</v>
      </c>
    </row>
    <row r="6" customFormat="false" ht="15" hidden="false" customHeight="true" outlineLevel="0" collapsed="false">
      <c r="A6" s="1" t="n">
        <v>70</v>
      </c>
      <c r="B6" s="1" t="s">
        <v>40</v>
      </c>
    </row>
    <row r="7" customFormat="false" ht="15" hidden="false" customHeight="true" outlineLevel="0" collapsed="false">
      <c r="A7" s="1" t="n">
        <v>80</v>
      </c>
      <c r="B7" s="1" t="s">
        <v>41</v>
      </c>
    </row>
    <row r="8" customFormat="false" ht="15" hidden="false" customHeight="true" outlineLevel="0" collapsed="false">
      <c r="A8" s="1" t="n">
        <v>90</v>
      </c>
      <c r="B8" s="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2026-06-23T06:56:27Z</dcterms:created>
  <dc:creator>CSN Teaching Assistant</dc:creator>
  <dc:description/>
  <dc:language>en-US</dc:language>
  <cp:lastModifiedBy/>
  <dcterms:modified xsi:type="dcterms:W3CDTF">2026-06-23T21:13:39Z</dcterms:modified>
  <cp:revision>1</cp:revision>
  <dc:subject/>
  <dc:title>SOC 101 Grade 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